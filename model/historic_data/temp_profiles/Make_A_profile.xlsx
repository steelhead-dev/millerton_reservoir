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\OneDrive - McBain Associates\Desktop\Millerton\Model\Python_Wrapper\profiles\"/>
    </mc:Choice>
  </mc:AlternateContent>
  <xr:revisionPtr revIDLastSave="0" documentId="13_ncr:1_{0BB5593A-0F57-4202-BB04-AAB9D1CC1A57}" xr6:coauthVersionLast="47" xr6:coauthVersionMax="47" xr10:uidLastSave="{00000000-0000-0000-0000-000000000000}"/>
  <bookViews>
    <workbookView xWindow="38630" yWindow="3770" windowWidth="28800" windowHeight="15420" xr2:uid="{0A1D0021-90E5-4549-9894-C594BDD1162B}"/>
  </bookViews>
  <sheets>
    <sheet name="2024-04-18_profi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6" i="1" s="1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6" i="2"/>
  <c r="E2" i="2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" i="1"/>
</calcChain>
</file>

<file path=xl/sharedStrings.xml><?xml version="1.0" encoding="utf-8"?>
<sst xmlns="http://schemas.openxmlformats.org/spreadsheetml/2006/main" count="9" uniqueCount="9">
  <si>
    <t>Elev_m</t>
  </si>
  <si>
    <t>Temp_C</t>
  </si>
  <si>
    <t>TDS_mgl</t>
  </si>
  <si>
    <t>DO_mgl</t>
  </si>
  <si>
    <t>ft</t>
  </si>
  <si>
    <t>Far</t>
  </si>
  <si>
    <t>Elevation</t>
  </si>
  <si>
    <t>Temp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</si>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</sst>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14A37C-2484-46B3-B783-A04D78CCAC69}" name="Table1" displayName="Table1" ref="E1:G26" totalsRowShown="0">
  <autoFilter ref="E1:G26" xr:uid="{9414A37C-2484-46B3-B783-A04D78CCAC69}"/>
  <sortState xmlns:xlrd2="http://schemas.microsoft.com/office/spreadsheetml/2017/richdata2" ref="E2:G26">
    <sortCondition descending="1" ref="E1:E26"/>
  </sortState>
  <tableColumns count="3">
    <tableColumn id="1" xr3:uid="{ECB91DCF-F9C6-47B7-94D8-06EEEF277D59}" name="Elevation">
      <calculatedColumnFormula>$J$2-G2</calculatedColumnFormula>
    </tableColumn>
    <tableColumn id="2" xr3:uid="{79F55056-A971-435B-8019-22ABB77E0625}" name="Temp"/>
    <tableColumn id="3" xr3:uid="{54222F8C-0095-4B23-A0BE-0BA240AA8C15}" name="Depth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C20D-7709-484F-9B50-4DAB8D2F3128}">
  <dimension ref="A1:D26"/>
  <sheetViews>
    <sheetView tabSelected="1" workbookViewId="0">
      <selection activeCell="G29" sqref="G2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f>CONVERT(Sheet1!A2,"ft","m")</f>
        <v>154.53360000000001</v>
      </c>
      <c r="B2">
        <f>CONVERT(Sheet1!B2,"F","C")</f>
        <v>25.88111111111111</v>
      </c>
      <c r="C2">
        <v>34</v>
      </c>
      <c r="D2">
        <v>10.66</v>
      </c>
    </row>
    <row r="3" spans="1:4" x14ac:dyDescent="0.35">
      <c r="A3">
        <f>CONVERT(Sheet1!A3,"ft","m")</f>
        <v>153.55062000000001</v>
      </c>
      <c r="B3">
        <f>CONVERT(Sheet1!B3,"F","C")</f>
        <v>25.678333333333335</v>
      </c>
      <c r="C3">
        <v>34</v>
      </c>
      <c r="D3">
        <v>10.6</v>
      </c>
    </row>
    <row r="4" spans="1:4" x14ac:dyDescent="0.35">
      <c r="A4">
        <f>CONVERT(Sheet1!A4,"ft","m")</f>
        <v>153.14127360000001</v>
      </c>
      <c r="B4">
        <f>CONVERT(Sheet1!B4,"F","C")</f>
        <v>25.303333333333335</v>
      </c>
      <c r="C4">
        <v>34</v>
      </c>
      <c r="D4">
        <v>10.54</v>
      </c>
    </row>
    <row r="5" spans="1:4" x14ac:dyDescent="0.35">
      <c r="A5">
        <f>CONVERT(Sheet1!A5,"ft","m")</f>
        <v>151.70322719999999</v>
      </c>
      <c r="B5">
        <f>CONVERT(Sheet1!B5,"F","C")</f>
        <v>25.207222222222224</v>
      </c>
      <c r="C5">
        <v>34</v>
      </c>
      <c r="D5">
        <v>10.46</v>
      </c>
    </row>
    <row r="6" spans="1:4" x14ac:dyDescent="0.35">
      <c r="A6">
        <f>CONVERT(Sheet1!A6,"ft","m")</f>
        <v>150.71445600000001</v>
      </c>
      <c r="B6">
        <f>CONVERT(Sheet1!B6,"F","C")</f>
        <v>25.117222222222221</v>
      </c>
      <c r="C6">
        <v>34</v>
      </c>
      <c r="D6">
        <v>10.35</v>
      </c>
    </row>
    <row r="7" spans="1:4" x14ac:dyDescent="0.35">
      <c r="A7">
        <f>CONVERT(Sheet1!A7,"ft","m")</f>
        <v>150.1100376</v>
      </c>
      <c r="B7">
        <f>CONVERT(Sheet1!B7,"F","C")</f>
        <v>24.981666666666666</v>
      </c>
      <c r="C7">
        <v>34</v>
      </c>
      <c r="D7">
        <v>10.28</v>
      </c>
    </row>
    <row r="8" spans="1:4" x14ac:dyDescent="0.35">
      <c r="A8">
        <f>CONVERT(Sheet1!A8,"ft","m")</f>
        <v>149.003004</v>
      </c>
      <c r="B8">
        <f>CONVERT(Sheet1!B8,"F","C")</f>
        <v>24.900555555555552</v>
      </c>
      <c r="C8">
        <v>34</v>
      </c>
      <c r="D8">
        <v>10.23</v>
      </c>
    </row>
    <row r="9" spans="1:4" x14ac:dyDescent="0.35">
      <c r="A9">
        <f>CONVERT(Sheet1!A9,"ft","m")</f>
        <v>147.79172879999999</v>
      </c>
      <c r="B9">
        <f>CONVERT(Sheet1!B9,"F","C")</f>
        <v>22.869444444444447</v>
      </c>
      <c r="C9">
        <v>34</v>
      </c>
      <c r="D9">
        <v>10.19</v>
      </c>
    </row>
    <row r="10" spans="1:4" x14ac:dyDescent="0.35">
      <c r="A10">
        <f>CONVERT(Sheet1!A10,"ft","m")</f>
        <v>144.799812</v>
      </c>
      <c r="B10">
        <f>CONVERT(Sheet1!B10,"F","C")</f>
        <v>20.734999999999996</v>
      </c>
      <c r="C10">
        <v>34</v>
      </c>
      <c r="D10">
        <v>10.17</v>
      </c>
    </row>
    <row r="11" spans="1:4" x14ac:dyDescent="0.35">
      <c r="A11">
        <f>CONVERT(Sheet1!A11,"ft","m")</f>
        <v>141.97980240000001</v>
      </c>
      <c r="B11">
        <f>CONVERT(Sheet1!B11,"F","C")</f>
        <v>20.063888888888886</v>
      </c>
      <c r="C11">
        <v>34</v>
      </c>
      <c r="D11">
        <v>10.16</v>
      </c>
    </row>
    <row r="12" spans="1:4" x14ac:dyDescent="0.35">
      <c r="A12">
        <f>CONVERT(Sheet1!A12,"ft","m")</f>
        <v>138.69802079999999</v>
      </c>
      <c r="B12">
        <f>CONVERT(Sheet1!B12,"F","C")</f>
        <v>19.056111111111111</v>
      </c>
      <c r="C12">
        <v>34</v>
      </c>
      <c r="D12">
        <v>10.15</v>
      </c>
    </row>
    <row r="13" spans="1:4" x14ac:dyDescent="0.35">
      <c r="A13">
        <f>CONVERT(Sheet1!A13,"ft","m")</f>
        <v>136.00907520000001</v>
      </c>
      <c r="B13">
        <f>CONVERT(Sheet1!B13,"F","C")</f>
        <v>17.425555555555555</v>
      </c>
      <c r="C13">
        <v>34</v>
      </c>
      <c r="D13">
        <v>10.14</v>
      </c>
    </row>
    <row r="14" spans="1:4" x14ac:dyDescent="0.35">
      <c r="A14">
        <f>CONVERT(Sheet1!A14,"ft","m")</f>
        <v>132.63951119999999</v>
      </c>
      <c r="B14">
        <f>CONVERT(Sheet1!B14,"F","C")</f>
        <v>14.71</v>
      </c>
      <c r="C14">
        <v>34</v>
      </c>
      <c r="D14">
        <v>10.119999999999999</v>
      </c>
    </row>
    <row r="15" spans="1:4" x14ac:dyDescent="0.35">
      <c r="A15">
        <f>CONVERT(Sheet1!A15,"ft","m")</f>
        <v>129.74299679999999</v>
      </c>
      <c r="B15">
        <f>CONVERT(Sheet1!B15,"F","C")</f>
        <v>13.632777777777779</v>
      </c>
      <c r="C15">
        <v>34</v>
      </c>
      <c r="D15">
        <v>10.119999999999999</v>
      </c>
    </row>
    <row r="16" spans="1:4" x14ac:dyDescent="0.35">
      <c r="A16">
        <f>CONVERT(Sheet1!A16,"ft","m")</f>
        <v>126.5813064</v>
      </c>
      <c r="B16">
        <f>CONVERT(Sheet1!B16,"F","C")</f>
        <v>11.940555555555557</v>
      </c>
      <c r="C16">
        <v>34</v>
      </c>
      <c r="D16">
        <v>10.130000000000001</v>
      </c>
    </row>
    <row r="17" spans="1:4" x14ac:dyDescent="0.35">
      <c r="A17">
        <f>CONVERT(Sheet1!A17,"ft","m")</f>
        <v>123.607068</v>
      </c>
      <c r="B17">
        <f>CONVERT(Sheet1!B17,"F","C")</f>
        <v>11.515555555555556</v>
      </c>
      <c r="C17">
        <v>34</v>
      </c>
      <c r="D17">
        <v>10.130000000000001</v>
      </c>
    </row>
    <row r="18" spans="1:4" x14ac:dyDescent="0.35">
      <c r="A18">
        <f>CONVERT(Sheet1!A18,"ft","m")</f>
        <v>120.42160320000001</v>
      </c>
      <c r="B18">
        <f>CONVERT(Sheet1!B18,"F","C")</f>
        <v>11.009444444444444</v>
      </c>
      <c r="C18">
        <v>34</v>
      </c>
      <c r="D18">
        <v>10.130000000000001</v>
      </c>
    </row>
    <row r="19" spans="1:4" x14ac:dyDescent="0.35">
      <c r="A19">
        <f>CONVERT(Sheet1!A19,"ft","m")</f>
        <v>117.6515808</v>
      </c>
      <c r="B19">
        <f>CONVERT(Sheet1!B19,"F","C")</f>
        <v>10.593333333333332</v>
      </c>
      <c r="C19">
        <v>35</v>
      </c>
      <c r="D19">
        <v>10.09</v>
      </c>
    </row>
    <row r="20" spans="1:4" x14ac:dyDescent="0.35">
      <c r="A20">
        <f>CONVERT(Sheet1!A20,"ft","m")</f>
        <v>114.0616464</v>
      </c>
      <c r="B20">
        <f>CONVERT(Sheet1!B20,"F","C")</f>
        <v>10.272222222222224</v>
      </c>
      <c r="C20">
        <v>35</v>
      </c>
      <c r="D20">
        <v>10.050000000000001</v>
      </c>
    </row>
    <row r="21" spans="1:4" x14ac:dyDescent="0.35">
      <c r="A21">
        <f>CONVERT(Sheet1!A21,"ft","m")</f>
        <v>111.21999599999999</v>
      </c>
      <c r="B21">
        <f>CONVERT(Sheet1!B21,"F","C")</f>
        <v>9.9450000000000021</v>
      </c>
      <c r="C21">
        <v>35</v>
      </c>
      <c r="D21">
        <v>10.039999999999999</v>
      </c>
    </row>
    <row r="22" spans="1:4" x14ac:dyDescent="0.35">
      <c r="A22">
        <f>CONVERT(Sheet1!A22,"ft","m")</f>
        <v>107.973876</v>
      </c>
      <c r="B22">
        <f>CONVERT(Sheet1!B22,"F","C")</f>
        <v>9.7172222222222224</v>
      </c>
      <c r="C22">
        <v>35</v>
      </c>
      <c r="D22">
        <v>10.029999999999999</v>
      </c>
    </row>
    <row r="23" spans="1:4" x14ac:dyDescent="0.35">
      <c r="A23">
        <f>CONVERT(Sheet1!A23,"ft","m")</f>
        <v>105.08589600000001</v>
      </c>
      <c r="B23">
        <f>CONVERT(Sheet1!B23,"F","C")</f>
        <v>9.6322222222222234</v>
      </c>
      <c r="C23">
        <v>35</v>
      </c>
      <c r="D23">
        <v>10</v>
      </c>
    </row>
    <row r="24" spans="1:4" x14ac:dyDescent="0.35">
      <c r="A24">
        <f>CONVERT(Sheet1!A24,"ft","m")</f>
        <v>102.219252</v>
      </c>
      <c r="B24">
        <f>CONVERT(Sheet1!B24,"F","C")</f>
        <v>9.5505555555555564</v>
      </c>
      <c r="C24">
        <v>35</v>
      </c>
      <c r="D24">
        <v>9.9499999999999993</v>
      </c>
    </row>
    <row r="25" spans="1:4" x14ac:dyDescent="0.35">
      <c r="A25">
        <f>CONVERT(Sheet1!A25,"ft","m")</f>
        <v>98.906075999999999</v>
      </c>
      <c r="B25">
        <f>CONVERT(Sheet1!B25,"F","C")</f>
        <v>9.5338888888888889</v>
      </c>
      <c r="C25">
        <v>37</v>
      </c>
      <c r="D25">
        <v>9.8000000000000007</v>
      </c>
    </row>
    <row r="26" spans="1:4" x14ac:dyDescent="0.35">
      <c r="A26">
        <f>CONVERT(Sheet1!A26,"ft","m")</f>
        <v>95.754139199999997</v>
      </c>
      <c r="B26">
        <f>CONVERT(Sheet1!B26,"F","C")</f>
        <v>9.5349999999999984</v>
      </c>
      <c r="C26">
        <v>38</v>
      </c>
      <c r="D26">
        <v>9.84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76C0-4554-4210-88A1-8C0FACF6DEC6}">
  <dimension ref="A1:L26"/>
  <sheetViews>
    <sheetView workbookViewId="0">
      <selection activeCell="D25" sqref="D25"/>
    </sheetView>
  </sheetViews>
  <sheetFormatPr defaultRowHeight="14.5" x14ac:dyDescent="0.35"/>
  <cols>
    <col min="5" max="5" width="10.1796875" customWidth="1"/>
  </cols>
  <sheetData>
    <row r="1" spans="1:12" x14ac:dyDescent="0.35">
      <c r="A1" t="s">
        <v>4</v>
      </c>
      <c r="B1" t="s">
        <v>5</v>
      </c>
      <c r="E1" t="s">
        <v>6</v>
      </c>
      <c r="F1" t="s">
        <v>7</v>
      </c>
      <c r="G1" t="s">
        <v>8</v>
      </c>
    </row>
    <row r="2" spans="1:12" x14ac:dyDescent="0.35">
      <c r="A2">
        <f>Table1[[#This Row],[Elevation]]</f>
        <v>507</v>
      </c>
      <c r="B2">
        <f>Table1[[#This Row],[Temp]]</f>
        <v>78.585999999999999</v>
      </c>
      <c r="E2">
        <f>$J$2-G2</f>
        <v>507</v>
      </c>
      <c r="F2">
        <v>78.585999999999999</v>
      </c>
      <c r="G2" s="1">
        <v>0.87</v>
      </c>
      <c r="J2">
        <v>507.87</v>
      </c>
    </row>
    <row r="3" spans="1:12" x14ac:dyDescent="0.35">
      <c r="A3">
        <f>Table1[[#This Row],[Elevation]]</f>
        <v>503.77499999999998</v>
      </c>
      <c r="B3">
        <f>Table1[[#This Row],[Temp]]</f>
        <v>78.221000000000004</v>
      </c>
      <c r="E3">
        <f>$J$2-G3</f>
        <v>503.77499999999998</v>
      </c>
      <c r="F3">
        <v>78.221000000000004</v>
      </c>
      <c r="G3" s="1">
        <v>4.0949999999999998</v>
      </c>
    </row>
    <row r="4" spans="1:12" x14ac:dyDescent="0.35">
      <c r="A4">
        <f>Table1[[#This Row],[Elevation]]</f>
        <v>502.43200000000002</v>
      </c>
      <c r="B4">
        <f>Table1[[#This Row],[Temp]]</f>
        <v>77.546000000000006</v>
      </c>
      <c r="E4">
        <f>$J$2-G4</f>
        <v>502.43200000000002</v>
      </c>
      <c r="F4">
        <v>77.546000000000006</v>
      </c>
      <c r="G4" s="1">
        <v>5.4379999999999997</v>
      </c>
      <c r="L4" s="2"/>
    </row>
    <row r="5" spans="1:12" x14ac:dyDescent="0.35">
      <c r="A5">
        <f>Table1[[#This Row],[Elevation]]</f>
        <v>497.714</v>
      </c>
      <c r="B5">
        <f>Table1[[#This Row],[Temp]]</f>
        <v>77.373000000000005</v>
      </c>
      <c r="E5">
        <f>$J$2-G5</f>
        <v>497.714</v>
      </c>
      <c r="F5">
        <v>77.373000000000005</v>
      </c>
      <c r="G5" s="1">
        <v>10.156000000000001</v>
      </c>
    </row>
    <row r="6" spans="1:12" x14ac:dyDescent="0.35">
      <c r="A6">
        <f>Table1[[#This Row],[Elevation]]</f>
        <v>494.47</v>
      </c>
      <c r="B6">
        <f>Table1[[#This Row],[Temp]]</f>
        <v>77.210999999999999</v>
      </c>
      <c r="E6">
        <f>$J$2-G6</f>
        <v>494.47</v>
      </c>
      <c r="F6">
        <v>77.210999999999999</v>
      </c>
      <c r="G6" s="1">
        <v>13.4</v>
      </c>
    </row>
    <row r="7" spans="1:12" x14ac:dyDescent="0.35">
      <c r="A7">
        <f>Table1[[#This Row],[Elevation]]</f>
        <v>492.48700000000002</v>
      </c>
      <c r="B7">
        <f>Table1[[#This Row],[Temp]]</f>
        <v>76.966999999999999</v>
      </c>
      <c r="E7">
        <f>$J$2-G7</f>
        <v>492.48700000000002</v>
      </c>
      <c r="F7">
        <v>76.966999999999999</v>
      </c>
      <c r="G7" s="1">
        <v>15.382999999999999</v>
      </c>
    </row>
    <row r="8" spans="1:12" x14ac:dyDescent="0.35">
      <c r="A8">
        <f>Table1[[#This Row],[Elevation]]</f>
        <v>488.85500000000002</v>
      </c>
      <c r="B8">
        <f>Table1[[#This Row],[Temp]]</f>
        <v>76.820999999999998</v>
      </c>
      <c r="E8">
        <f>$J$2-G8</f>
        <v>488.85500000000002</v>
      </c>
      <c r="F8">
        <v>76.820999999999998</v>
      </c>
      <c r="G8" s="1">
        <v>19.015000000000001</v>
      </c>
    </row>
    <row r="9" spans="1:12" x14ac:dyDescent="0.35">
      <c r="A9">
        <f>Table1[[#This Row],[Elevation]]</f>
        <v>484.88100000000003</v>
      </c>
      <c r="B9">
        <f>Table1[[#This Row],[Temp]]</f>
        <v>73.165000000000006</v>
      </c>
      <c r="E9">
        <f>$J$2-G9</f>
        <v>484.88100000000003</v>
      </c>
      <c r="F9">
        <v>73.165000000000006</v>
      </c>
      <c r="G9" s="1">
        <v>22.989000000000001</v>
      </c>
    </row>
    <row r="10" spans="1:12" x14ac:dyDescent="0.35">
      <c r="A10">
        <f>Table1[[#This Row],[Elevation]]</f>
        <v>475.065</v>
      </c>
      <c r="B10">
        <f>Table1[[#This Row],[Temp]]</f>
        <v>69.322999999999993</v>
      </c>
      <c r="E10">
        <f>$J$2-G10</f>
        <v>475.065</v>
      </c>
      <c r="F10">
        <v>69.322999999999993</v>
      </c>
      <c r="G10" s="1">
        <v>32.805</v>
      </c>
    </row>
    <row r="11" spans="1:12" x14ac:dyDescent="0.35">
      <c r="A11">
        <f>Table1[[#This Row],[Elevation]]</f>
        <v>465.81299999999999</v>
      </c>
      <c r="B11">
        <f>Table1[[#This Row],[Temp]]</f>
        <v>68.114999999999995</v>
      </c>
      <c r="E11">
        <f>$J$2-G11</f>
        <v>465.81299999999999</v>
      </c>
      <c r="F11">
        <v>68.114999999999995</v>
      </c>
      <c r="G11" s="1">
        <v>42.057000000000002</v>
      </c>
    </row>
    <row r="12" spans="1:12" x14ac:dyDescent="0.35">
      <c r="A12">
        <f>Table1[[#This Row],[Elevation]]</f>
        <v>455.04599999999999</v>
      </c>
      <c r="B12">
        <f>Table1[[#This Row],[Temp]]</f>
        <v>66.301000000000002</v>
      </c>
      <c r="E12">
        <f>$J$2-G12</f>
        <v>455.04599999999999</v>
      </c>
      <c r="F12">
        <v>66.301000000000002</v>
      </c>
      <c r="G12" s="1">
        <v>52.823999999999998</v>
      </c>
    </row>
    <row r="13" spans="1:12" x14ac:dyDescent="0.35">
      <c r="A13">
        <f>Table1[[#This Row],[Elevation]]</f>
        <v>446.22399999999999</v>
      </c>
      <c r="B13">
        <f>Table1[[#This Row],[Temp]]</f>
        <v>63.366</v>
      </c>
      <c r="E13">
        <f>$J$2-G13</f>
        <v>446.22399999999999</v>
      </c>
      <c r="F13">
        <v>63.366</v>
      </c>
      <c r="G13" s="1">
        <v>61.646000000000001</v>
      </c>
    </row>
    <row r="14" spans="1:12" x14ac:dyDescent="0.35">
      <c r="A14">
        <f>Table1[[#This Row],[Elevation]]</f>
        <v>435.16899999999998</v>
      </c>
      <c r="B14">
        <f>Table1[[#This Row],[Temp]]</f>
        <v>58.478000000000002</v>
      </c>
      <c r="E14">
        <f>$J$2-G14</f>
        <v>435.16899999999998</v>
      </c>
      <c r="F14">
        <v>58.478000000000002</v>
      </c>
      <c r="G14" s="1">
        <v>72.700999999999993</v>
      </c>
    </row>
    <row r="15" spans="1:12" x14ac:dyDescent="0.35">
      <c r="A15">
        <f>Table1[[#This Row],[Elevation]]</f>
        <v>425.666</v>
      </c>
      <c r="B15">
        <f>Table1[[#This Row],[Temp]]</f>
        <v>56.539000000000001</v>
      </c>
      <c r="E15">
        <f>$J$2-G15</f>
        <v>425.666</v>
      </c>
      <c r="F15">
        <v>56.539000000000001</v>
      </c>
      <c r="G15" s="1">
        <v>82.203999999999994</v>
      </c>
    </row>
    <row r="16" spans="1:12" x14ac:dyDescent="0.35">
      <c r="A16">
        <f>Table1[[#This Row],[Elevation]]</f>
        <v>415.29300000000001</v>
      </c>
      <c r="B16">
        <f>Table1[[#This Row],[Temp]]</f>
        <v>53.493000000000002</v>
      </c>
      <c r="E16">
        <f>$J$2-G16</f>
        <v>415.29300000000001</v>
      </c>
      <c r="F16">
        <v>53.493000000000002</v>
      </c>
      <c r="G16" s="1">
        <v>92.576999999999998</v>
      </c>
    </row>
    <row r="17" spans="1:7" x14ac:dyDescent="0.35">
      <c r="A17">
        <f>Table1[[#This Row],[Elevation]]</f>
        <v>405.53500000000003</v>
      </c>
      <c r="B17">
        <f>Table1[[#This Row],[Temp]]</f>
        <v>52.728000000000002</v>
      </c>
      <c r="E17">
        <f>$J$2-G17</f>
        <v>405.53500000000003</v>
      </c>
      <c r="F17">
        <v>52.728000000000002</v>
      </c>
      <c r="G17" s="1">
        <v>102.33499999999999</v>
      </c>
    </row>
    <row r="18" spans="1:7" x14ac:dyDescent="0.35">
      <c r="A18">
        <f>Table1[[#This Row],[Elevation]]</f>
        <v>395.084</v>
      </c>
      <c r="B18">
        <f>Table1[[#This Row],[Temp]]</f>
        <v>51.817</v>
      </c>
      <c r="E18">
        <f>$J$2-G18</f>
        <v>395.084</v>
      </c>
      <c r="F18">
        <v>51.817</v>
      </c>
      <c r="G18" s="1">
        <v>112.786</v>
      </c>
    </row>
    <row r="19" spans="1:7" x14ac:dyDescent="0.35">
      <c r="A19">
        <f>Table1[[#This Row],[Elevation]]</f>
        <v>385.99599999999998</v>
      </c>
      <c r="B19">
        <f>Table1[[#This Row],[Temp]]</f>
        <v>51.067999999999998</v>
      </c>
      <c r="E19">
        <f>$J$2-G19</f>
        <v>385.99599999999998</v>
      </c>
      <c r="F19">
        <v>51.067999999999998</v>
      </c>
      <c r="G19" s="1">
        <v>121.874</v>
      </c>
    </row>
    <row r="20" spans="1:7" x14ac:dyDescent="0.35">
      <c r="A20">
        <f>Table1[[#This Row],[Elevation]]</f>
        <v>374.21800000000002</v>
      </c>
      <c r="B20">
        <f>Table1[[#This Row],[Temp]]</f>
        <v>50.49</v>
      </c>
      <c r="E20">
        <f>$J$2-G20</f>
        <v>374.21800000000002</v>
      </c>
      <c r="F20">
        <v>50.49</v>
      </c>
      <c r="G20" s="1">
        <v>133.65199999999999</v>
      </c>
    </row>
    <row r="21" spans="1:7" x14ac:dyDescent="0.35">
      <c r="A21">
        <f>Table1[[#This Row],[Elevation]]</f>
        <v>364.89499999999998</v>
      </c>
      <c r="B21">
        <f>Table1[[#This Row],[Temp]]</f>
        <v>49.901000000000003</v>
      </c>
      <c r="E21">
        <f>$J$2-G21</f>
        <v>364.89499999999998</v>
      </c>
      <c r="F21">
        <v>49.901000000000003</v>
      </c>
      <c r="G21" s="1">
        <v>142.97499999999999</v>
      </c>
    </row>
    <row r="22" spans="1:7" x14ac:dyDescent="0.35">
      <c r="A22">
        <f>Table1[[#This Row],[Elevation]]</f>
        <v>354.245</v>
      </c>
      <c r="B22">
        <f>Table1[[#This Row],[Temp]]</f>
        <v>49.491</v>
      </c>
      <c r="E22">
        <f>$J$2-G22</f>
        <v>354.245</v>
      </c>
      <c r="F22">
        <v>49.491</v>
      </c>
      <c r="G22" s="1">
        <v>153.625</v>
      </c>
    </row>
    <row r="23" spans="1:7" x14ac:dyDescent="0.35">
      <c r="A23">
        <f>Table1[[#This Row],[Elevation]]</f>
        <v>344.77</v>
      </c>
      <c r="B23">
        <f>Table1[[#This Row],[Temp]]</f>
        <v>49.338000000000001</v>
      </c>
      <c r="E23">
        <f>$J$2-G23</f>
        <v>344.77</v>
      </c>
      <c r="F23">
        <v>49.338000000000001</v>
      </c>
      <c r="G23" s="1">
        <v>163.1</v>
      </c>
    </row>
    <row r="24" spans="1:7" x14ac:dyDescent="0.35">
      <c r="A24">
        <f>Table1[[#This Row],[Elevation]]</f>
        <v>335.36500000000001</v>
      </c>
      <c r="B24">
        <f>Table1[[#This Row],[Temp]]</f>
        <v>49.191000000000003</v>
      </c>
      <c r="E24">
        <f>$J$2-G24</f>
        <v>335.36500000000001</v>
      </c>
      <c r="F24">
        <v>49.191000000000003</v>
      </c>
      <c r="G24" s="1">
        <v>172.505</v>
      </c>
    </row>
    <row r="25" spans="1:7" x14ac:dyDescent="0.35">
      <c r="A25">
        <f>Table1[[#This Row],[Elevation]]</f>
        <v>324.495</v>
      </c>
      <c r="B25">
        <f>Table1[[#This Row],[Temp]]</f>
        <v>49.161000000000001</v>
      </c>
      <c r="E25">
        <f>$J$2-G25</f>
        <v>324.495</v>
      </c>
      <c r="F25">
        <v>49.161000000000001</v>
      </c>
      <c r="G25" s="1">
        <v>183.375</v>
      </c>
    </row>
    <row r="26" spans="1:7" x14ac:dyDescent="0.35">
      <c r="A26">
        <f>Table1[[#This Row],[Elevation]]</f>
        <v>314.154</v>
      </c>
      <c r="B26">
        <f>Table1[[#This Row],[Temp]]</f>
        <v>49.162999999999997</v>
      </c>
      <c r="E26">
        <f>$J$2-G26</f>
        <v>314.154</v>
      </c>
      <c r="F26">
        <v>49.162999999999997</v>
      </c>
      <c r="G26" s="1">
        <v>193.71600000000001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2024-04-18_profile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Hawkins</cp:lastModifiedBy>
  <dcterms:created xsi:type="dcterms:W3CDTF">2025-04-18T00:11:49Z</dcterms:created>
  <dcterms:modified xsi:type="dcterms:W3CDTF">2025-09-19T18:11:46Z</dcterms:modified>
</cp:coreProperties>
</file>