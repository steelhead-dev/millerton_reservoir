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Desktop\millerton_reservoir\model\historic_data\temp_profiles\"/>
    </mc:Choice>
  </mc:AlternateContent>
  <xr:revisionPtr revIDLastSave="0" documentId="8_{7A615E96-5EAE-415C-AB48-9AC3286CD775}" xr6:coauthVersionLast="47" xr6:coauthVersionMax="47" xr10:uidLastSave="{00000000-0000-0000-0000-000000000000}"/>
  <bookViews>
    <workbookView xWindow="-108" yWindow="-108" windowWidth="23256" windowHeight="12456" xr2:uid="{0A1D0021-90E5-4549-9894-C594BDD1162B}"/>
  </bookViews>
  <sheets>
    <sheet name="2026-06-11_profi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B3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  <c r="A29" i="2"/>
  <c r="A28" i="2"/>
  <c r="A27" i="2"/>
  <c r="A26" i="2"/>
  <c r="A25" i="2"/>
  <c r="A7" i="1" s="1"/>
  <c r="A24" i="2"/>
  <c r="A23" i="2"/>
  <c r="A22" i="2"/>
  <c r="A21" i="2"/>
  <c r="A20" i="2"/>
  <c r="A19" i="2"/>
  <c r="A18" i="2"/>
  <c r="A17" i="2"/>
  <c r="A16" i="2"/>
  <c r="A16" i="1" s="1"/>
  <c r="A15" i="2"/>
  <c r="A17" i="1" s="1"/>
  <c r="A14" i="2"/>
  <c r="A13" i="2"/>
  <c r="A12" i="2"/>
  <c r="A11" i="2"/>
  <c r="A10" i="2"/>
  <c r="A9" i="2"/>
  <c r="A8" i="2"/>
  <c r="A24" i="1" s="1"/>
  <c r="A7" i="2"/>
  <c r="A6" i="2"/>
  <c r="A5" i="2"/>
  <c r="A4" i="2"/>
  <c r="A3" i="2"/>
  <c r="A2" i="2"/>
  <c r="A30" i="2"/>
  <c r="A2" i="1" s="1"/>
  <c r="A5" i="1" l="1"/>
  <c r="A21" i="1"/>
  <c r="A19" i="1"/>
  <c r="A3" i="1"/>
  <c r="A18" i="1"/>
  <c r="A30" i="1"/>
  <c r="A12" i="1"/>
  <c r="A10" i="1"/>
  <c r="A25" i="1"/>
  <c r="A9" i="1"/>
  <c r="A26" i="1"/>
  <c r="A11" i="1"/>
  <c r="A23" i="1"/>
  <c r="A6" i="1"/>
  <c r="A20" i="1"/>
  <c r="A4" i="1"/>
  <c r="A29" i="1"/>
  <c r="A15" i="1"/>
  <c r="A28" i="1"/>
  <c r="A8" i="1"/>
  <c r="A27" i="1"/>
  <c r="A14" i="1"/>
  <c r="A13" i="1"/>
  <c r="A22" i="1"/>
</calcChain>
</file>

<file path=xl/sharedStrings.xml><?xml version="1.0" encoding="utf-8"?>
<sst xmlns="http://schemas.openxmlformats.org/spreadsheetml/2006/main" count="8" uniqueCount="8">
  <si>
    <t>Elev_m</t>
  </si>
  <si>
    <t>Temp_C</t>
  </si>
  <si>
    <t>TDS_mgl</t>
  </si>
  <si>
    <t>DO_mgl</t>
  </si>
  <si>
    <t>ft</t>
  </si>
  <si>
    <t>Far</t>
  </si>
  <si>
    <t>Depth</t>
  </si>
  <si>
    <t>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</si>
</sst>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3AFF0F-626F-4C98-A541-9C215DBC9FCD}" name="Table3" displayName="Table3" ref="D1:D30" totalsRowShown="0">
  <autoFilter ref="D1:D30" xr:uid="{3F3AFF0F-626F-4C98-A541-9C215DBC9FCD}"/>
  <sortState xmlns:xlrd2="http://schemas.microsoft.com/office/spreadsheetml/2017/richdata2" ref="D2:D30">
    <sortCondition ref="D1:D30"/>
  </sortState>
  <tableColumns count="1">
    <tableColumn id="1" xr3:uid="{6E88EF7F-07FB-492F-8B92-DEC029A56590}" name="Dep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C20D-7709-484F-9B50-4DAB8D2F3128}">
  <dimension ref="A1:D30"/>
  <sheetViews>
    <sheetView tabSelected="1" workbookViewId="0">
      <selection activeCell="G6" sqref="G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f>CONVERT(Sheet1!A2,"ft","m")</f>
        <v>174.78969359999999</v>
      </c>
      <c r="B2">
        <f>CONVERT(Sheet1!B2,"F","C")</f>
        <v>24.500555555555554</v>
      </c>
      <c r="C2">
        <v>34</v>
      </c>
      <c r="D2">
        <v>10.66</v>
      </c>
    </row>
    <row r="3" spans="1:4" x14ac:dyDescent="0.3">
      <c r="A3">
        <f>CONVERT(Sheet1!A3,"ft","m")</f>
        <v>173.69149920000004</v>
      </c>
      <c r="B3">
        <f>CONVERT(Sheet1!B3,"F","C")</f>
        <v>24.433888888888884</v>
      </c>
      <c r="C3">
        <v>34</v>
      </c>
      <c r="D3">
        <v>10.6</v>
      </c>
    </row>
    <row r="4" spans="1:4" x14ac:dyDescent="0.3">
      <c r="A4">
        <f>CONVERT(Sheet1!A4,"ft","m")</f>
        <v>172.792644</v>
      </c>
      <c r="B4">
        <f>CONVERT(Sheet1!B4,"F","C")</f>
        <v>24.377777777777773</v>
      </c>
      <c r="C4">
        <v>34</v>
      </c>
      <c r="D4">
        <v>10.54</v>
      </c>
    </row>
    <row r="5" spans="1:4" x14ac:dyDescent="0.3">
      <c r="A5">
        <f>CONVERT(Sheet1!A5,"ft","m")</f>
        <v>172.27997039999997</v>
      </c>
      <c r="B5">
        <f>CONVERT(Sheet1!B5,"F","C")</f>
        <v>24.276666666666664</v>
      </c>
      <c r="C5">
        <v>34</v>
      </c>
      <c r="D5">
        <v>10.46</v>
      </c>
    </row>
    <row r="6" spans="1:4" x14ac:dyDescent="0.3">
      <c r="A6">
        <f>CONVERT(Sheet1!A6,"ft","m")</f>
        <v>171.12965519999997</v>
      </c>
      <c r="B6">
        <f>CONVERT(Sheet1!B6,"F","C")</f>
        <v>24.082222222222221</v>
      </c>
      <c r="C6">
        <v>34</v>
      </c>
      <c r="D6">
        <v>10.35</v>
      </c>
    </row>
    <row r="7" spans="1:4" x14ac:dyDescent="0.3">
      <c r="A7">
        <f>CONVERT(Sheet1!A7,"ft","m")</f>
        <v>169.94306879999999</v>
      </c>
      <c r="B7">
        <f>CONVERT(Sheet1!B7,"F","C")</f>
        <v>23.770555555555557</v>
      </c>
      <c r="C7">
        <v>34</v>
      </c>
      <c r="D7">
        <v>10.28</v>
      </c>
    </row>
    <row r="8" spans="1:4" x14ac:dyDescent="0.3">
      <c r="A8">
        <f>CONVERT(Sheet1!A8,"ft","m")</f>
        <v>169.1597328</v>
      </c>
      <c r="B8">
        <f>CONVERT(Sheet1!B8,"F","C")</f>
        <v>22.373333333333335</v>
      </c>
      <c r="C8">
        <v>34</v>
      </c>
      <c r="D8">
        <v>10.23</v>
      </c>
    </row>
    <row r="9" spans="1:4" x14ac:dyDescent="0.3">
      <c r="A9">
        <f>CONVERT(Sheet1!A9,"ft","m")</f>
        <v>166.52107919999997</v>
      </c>
      <c r="B9">
        <f>CONVERT(Sheet1!B9,"F","C")</f>
        <v>16.892777777777777</v>
      </c>
      <c r="C9">
        <v>34</v>
      </c>
      <c r="D9">
        <v>10.19</v>
      </c>
    </row>
    <row r="10" spans="1:4" x14ac:dyDescent="0.3">
      <c r="A10">
        <f>CONVERT(Sheet1!A10,"ft","m")</f>
        <v>162.9988104</v>
      </c>
      <c r="B10">
        <f>CONVERT(Sheet1!B10,"F","C")</f>
        <v>15.804999999999998</v>
      </c>
      <c r="C10">
        <v>34</v>
      </c>
      <c r="D10">
        <v>10.17</v>
      </c>
    </row>
    <row r="11" spans="1:4" x14ac:dyDescent="0.3">
      <c r="A11">
        <f>CONVERT(Sheet1!A11,"ft","m")</f>
        <v>160.2812136</v>
      </c>
      <c r="B11">
        <f>CONVERT(Sheet1!B11,"F","C")</f>
        <v>15.313333333333333</v>
      </c>
      <c r="C11">
        <v>34</v>
      </c>
      <c r="D11">
        <v>10.16</v>
      </c>
    </row>
    <row r="12" spans="1:4" x14ac:dyDescent="0.3">
      <c r="A12">
        <f>CONVERT(Sheet1!A12,"ft","m")</f>
        <v>156.84977519999998</v>
      </c>
      <c r="B12">
        <f>CONVERT(Sheet1!B12,"F","C")</f>
        <v>14.808333333333334</v>
      </c>
      <c r="C12">
        <v>34</v>
      </c>
      <c r="D12">
        <v>10.15</v>
      </c>
    </row>
    <row r="13" spans="1:4" x14ac:dyDescent="0.3">
      <c r="A13">
        <f>CONVERT(Sheet1!A13,"ft","m")</f>
        <v>153.93558239999999</v>
      </c>
      <c r="B13">
        <f>CONVERT(Sheet1!B13,"F","C")</f>
        <v>14.439444444444444</v>
      </c>
      <c r="C13">
        <v>34</v>
      </c>
      <c r="D13">
        <v>10.14</v>
      </c>
    </row>
    <row r="14" spans="1:4" x14ac:dyDescent="0.3">
      <c r="A14">
        <f>CONVERT(Sheet1!A14,"ft","m")</f>
        <v>151.05827039999997</v>
      </c>
      <c r="B14">
        <f>CONVERT(Sheet1!B14,"F","C")</f>
        <v>13.951111111111112</v>
      </c>
      <c r="C14">
        <v>34</v>
      </c>
      <c r="D14">
        <v>10.119999999999999</v>
      </c>
    </row>
    <row r="15" spans="1:4" x14ac:dyDescent="0.3">
      <c r="A15">
        <f>CONVERT(Sheet1!A15,"ft","m")</f>
        <v>147.7188816</v>
      </c>
      <c r="B15">
        <f>CONVERT(Sheet1!B15,"F","C")</f>
        <v>13.650555555555554</v>
      </c>
      <c r="C15">
        <v>34</v>
      </c>
      <c r="D15">
        <v>10.119999999999999</v>
      </c>
    </row>
    <row r="16" spans="1:4" x14ac:dyDescent="0.3">
      <c r="A16">
        <f>CONVERT(Sheet1!A16,"ft","m")</f>
        <v>147.61982159999999</v>
      </c>
      <c r="B16">
        <f>CONVERT(Sheet1!B16,"F","C")</f>
        <v>13.489999999999998</v>
      </c>
      <c r="C16">
        <v>34</v>
      </c>
      <c r="D16">
        <v>10.130000000000001</v>
      </c>
    </row>
    <row r="17" spans="1:4" x14ac:dyDescent="0.3">
      <c r="A17">
        <f>CONVERT(Sheet1!A17,"ft","m")</f>
        <v>145.10948880000001</v>
      </c>
      <c r="B17">
        <f>CONVERT(Sheet1!B17,"F","C")</f>
        <v>13.316666666666666</v>
      </c>
      <c r="C17">
        <v>34</v>
      </c>
      <c r="D17">
        <v>10.130000000000001</v>
      </c>
    </row>
    <row r="18" spans="1:4" x14ac:dyDescent="0.3">
      <c r="A18">
        <f>CONVERT(Sheet1!A18,"ft","m")</f>
        <v>141.93560640000001</v>
      </c>
      <c r="B18">
        <f>CONVERT(Sheet1!B18,"F","C")</f>
        <v>12.820555555555554</v>
      </c>
      <c r="C18">
        <v>34</v>
      </c>
      <c r="D18">
        <v>10.130000000000001</v>
      </c>
    </row>
    <row r="19" spans="1:4" x14ac:dyDescent="0.3">
      <c r="A19">
        <f>CONVERT(Sheet1!A19,"ft","m")</f>
        <v>138.60017999999999</v>
      </c>
      <c r="B19">
        <f>CONVERT(Sheet1!B19,"F","C")</f>
        <v>12.350555555555555</v>
      </c>
      <c r="C19">
        <v>35</v>
      </c>
      <c r="D19">
        <v>10.09</v>
      </c>
    </row>
    <row r="20" spans="1:4" x14ac:dyDescent="0.3">
      <c r="A20">
        <f>CONVERT(Sheet1!A20,"ft","m")</f>
        <v>135.26597279999999</v>
      </c>
      <c r="B20">
        <f>CONVERT(Sheet1!B20,"F","C")</f>
        <v>11.343888888888888</v>
      </c>
      <c r="C20">
        <v>35</v>
      </c>
      <c r="D20">
        <v>10.050000000000001</v>
      </c>
    </row>
    <row r="21" spans="1:4" x14ac:dyDescent="0.3">
      <c r="A21">
        <f>CONVERT(Sheet1!A21,"ft","m")</f>
        <v>132.1835304</v>
      </c>
      <c r="B21">
        <f>CONVERT(Sheet1!B21,"F","C")</f>
        <v>10.668888888888889</v>
      </c>
      <c r="C21">
        <v>35</v>
      </c>
      <c r="D21">
        <v>10.039999999999999</v>
      </c>
    </row>
    <row r="22" spans="1:4" x14ac:dyDescent="0.3">
      <c r="A22">
        <f>CONVERT(Sheet1!A22,"ft","m")</f>
        <v>129.31566720000001</v>
      </c>
      <c r="B22">
        <f>CONVERT(Sheet1!B22,"F","C")</f>
        <v>10.210555555555555</v>
      </c>
      <c r="C22">
        <v>35</v>
      </c>
      <c r="D22">
        <v>10.029999999999999</v>
      </c>
    </row>
    <row r="23" spans="1:4" x14ac:dyDescent="0.3">
      <c r="A23">
        <f>CONVERT(Sheet1!A23,"ft","m")</f>
        <v>126.3597168</v>
      </c>
      <c r="B23">
        <f>CONVERT(Sheet1!B23,"F","C")</f>
        <v>9.9177777777777756</v>
      </c>
      <c r="C23">
        <v>35</v>
      </c>
      <c r="D23">
        <v>10</v>
      </c>
    </row>
    <row r="24" spans="1:4" x14ac:dyDescent="0.3">
      <c r="A24">
        <f>CONVERT(Sheet1!A24,"ft","m")</f>
        <v>123.43638</v>
      </c>
      <c r="B24">
        <f>CONVERT(Sheet1!B24,"F","C")</f>
        <v>9.6088888888888881</v>
      </c>
      <c r="C24">
        <v>35</v>
      </c>
      <c r="D24">
        <v>9.9499999999999993</v>
      </c>
    </row>
    <row r="25" spans="1:4" x14ac:dyDescent="0.3">
      <c r="A25">
        <f>CONVERT(Sheet1!A25,"ft","m")</f>
        <v>120.57827039999998</v>
      </c>
      <c r="B25">
        <f>CONVERT(Sheet1!B25,"F","C")</f>
        <v>9.4516666666666662</v>
      </c>
      <c r="C25">
        <v>37</v>
      </c>
      <c r="D25">
        <v>9.8000000000000007</v>
      </c>
    </row>
    <row r="26" spans="1:4" x14ac:dyDescent="0.3">
      <c r="A26">
        <f>CONVERT(Sheet1!A26,"ft","m")</f>
        <v>117.33367440000001</v>
      </c>
      <c r="B26">
        <f>CONVERT(Sheet1!B26,"F","C")</f>
        <v>9.3527777777777779</v>
      </c>
      <c r="C26">
        <v>38</v>
      </c>
      <c r="D26">
        <v>9.84</v>
      </c>
    </row>
    <row r="27" spans="1:4" x14ac:dyDescent="0.3">
      <c r="A27">
        <f>CONVERT(Sheet1!A27,"ft","m")</f>
        <v>114.51945600000001</v>
      </c>
      <c r="B27">
        <f>CONVERT(Sheet1!B27,"F","C")</f>
        <v>9.2027777777777757</v>
      </c>
      <c r="C27">
        <v>38</v>
      </c>
      <c r="D27">
        <v>9.84</v>
      </c>
    </row>
    <row r="28" spans="1:4" x14ac:dyDescent="0.3">
      <c r="A28">
        <f>CONVERT(Sheet1!A28,"ft","m")</f>
        <v>111.19256399999998</v>
      </c>
      <c r="B28">
        <f>CONVERT(Sheet1!B28,"F","C")</f>
        <v>9.0883333333333347</v>
      </c>
      <c r="C28">
        <v>38</v>
      </c>
      <c r="D28">
        <v>9.84</v>
      </c>
    </row>
    <row r="29" spans="1:4" x14ac:dyDescent="0.3">
      <c r="A29">
        <f>CONVERT(Sheet1!A29,"ft","m")</f>
        <v>108.1021968</v>
      </c>
      <c r="B29">
        <f>CONVERT(Sheet1!B29,"F","C")</f>
        <v>9.0327777777777776</v>
      </c>
      <c r="C29">
        <v>38</v>
      </c>
      <c r="D29">
        <v>9.84</v>
      </c>
    </row>
    <row r="30" spans="1:4" x14ac:dyDescent="0.3">
      <c r="A30">
        <f>CONVERT(Sheet1!A30,"ft","m")</f>
        <v>105.16026720000001</v>
      </c>
      <c r="B30">
        <f>CONVERT(Sheet1!B30,"F","C")</f>
        <v>8.9611111111111121</v>
      </c>
      <c r="C30">
        <v>38</v>
      </c>
      <c r="D30">
        <v>9.84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76C0-4554-4210-88A1-8C0FACF6DEC6}">
  <dimension ref="A1:G30"/>
  <sheetViews>
    <sheetView workbookViewId="0">
      <selection activeCell="D26" sqref="D26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D1" t="s">
        <v>6</v>
      </c>
      <c r="G1" t="s">
        <v>7</v>
      </c>
    </row>
    <row r="2" spans="1:7" x14ac:dyDescent="0.3">
      <c r="A2">
        <f>$G$2-D2</f>
        <v>573.45699999999999</v>
      </c>
      <c r="B2">
        <v>76.100999999999999</v>
      </c>
      <c r="D2">
        <v>0.55300000000000005</v>
      </c>
      <c r="G2">
        <v>574.01</v>
      </c>
    </row>
    <row r="3" spans="1:7" x14ac:dyDescent="0.3">
      <c r="A3">
        <f>$G$2-D3</f>
        <v>569.85400000000004</v>
      </c>
      <c r="B3">
        <v>75.980999999999995</v>
      </c>
      <c r="D3">
        <v>4.1559999999999997</v>
      </c>
    </row>
    <row r="4" spans="1:7" x14ac:dyDescent="0.3">
      <c r="A4">
        <f>$G$2-D4</f>
        <v>566.90499999999997</v>
      </c>
      <c r="B4">
        <v>75.88</v>
      </c>
      <c r="D4">
        <v>7.1050000000000004</v>
      </c>
    </row>
    <row r="5" spans="1:7" x14ac:dyDescent="0.3">
      <c r="A5">
        <f>$G$2-D5</f>
        <v>565.22299999999996</v>
      </c>
      <c r="B5">
        <v>75.697999999999993</v>
      </c>
      <c r="D5">
        <v>8.7870000000000008</v>
      </c>
    </row>
    <row r="6" spans="1:7" x14ac:dyDescent="0.3">
      <c r="A6">
        <f>$G$2-D6</f>
        <v>561.44899999999996</v>
      </c>
      <c r="B6">
        <v>75.347999999999999</v>
      </c>
      <c r="D6">
        <v>12.561</v>
      </c>
    </row>
    <row r="7" spans="1:7" x14ac:dyDescent="0.3">
      <c r="A7">
        <f>$G$2-D7</f>
        <v>557.55600000000004</v>
      </c>
      <c r="B7">
        <v>74.787000000000006</v>
      </c>
      <c r="D7">
        <v>16.454000000000001</v>
      </c>
    </row>
    <row r="8" spans="1:7" x14ac:dyDescent="0.3">
      <c r="A8">
        <f>$G$2-D8</f>
        <v>554.98599999999999</v>
      </c>
      <c r="B8">
        <v>72.272000000000006</v>
      </c>
      <c r="D8">
        <v>19.024000000000001</v>
      </c>
    </row>
    <row r="9" spans="1:7" x14ac:dyDescent="0.3">
      <c r="A9">
        <f>$G$2-D9</f>
        <v>546.32899999999995</v>
      </c>
      <c r="B9">
        <v>62.406999999999996</v>
      </c>
      <c r="D9">
        <v>27.681000000000001</v>
      </c>
    </row>
    <row r="10" spans="1:7" x14ac:dyDescent="0.3">
      <c r="A10">
        <f>$G$2-D10</f>
        <v>534.77300000000002</v>
      </c>
      <c r="B10">
        <v>60.448999999999998</v>
      </c>
      <c r="D10">
        <v>39.237000000000002</v>
      </c>
    </row>
    <row r="11" spans="1:7" x14ac:dyDescent="0.3">
      <c r="A11">
        <f>$G$2-D11</f>
        <v>525.85699999999997</v>
      </c>
      <c r="B11">
        <v>59.564</v>
      </c>
      <c r="D11">
        <v>48.152999999999999</v>
      </c>
    </row>
    <row r="12" spans="1:7" x14ac:dyDescent="0.3">
      <c r="A12">
        <f>$G$2-D12</f>
        <v>514.59899999999993</v>
      </c>
      <c r="B12">
        <v>58.655000000000001</v>
      </c>
      <c r="D12">
        <v>59.411000000000001</v>
      </c>
    </row>
    <row r="13" spans="1:7" x14ac:dyDescent="0.3">
      <c r="A13">
        <f>$G$2-D13</f>
        <v>505.03800000000001</v>
      </c>
      <c r="B13">
        <v>57.991</v>
      </c>
      <c r="D13">
        <v>68.971999999999994</v>
      </c>
    </row>
    <row r="14" spans="1:7" x14ac:dyDescent="0.3">
      <c r="A14">
        <f>$G$2-D14</f>
        <v>495.59799999999996</v>
      </c>
      <c r="B14">
        <v>57.112000000000002</v>
      </c>
      <c r="D14">
        <v>78.412000000000006</v>
      </c>
    </row>
    <row r="15" spans="1:7" x14ac:dyDescent="0.3">
      <c r="A15">
        <f>$G$2-D15</f>
        <v>484.642</v>
      </c>
      <c r="B15">
        <v>56.570999999999998</v>
      </c>
      <c r="D15">
        <v>89.367999999999995</v>
      </c>
    </row>
    <row r="16" spans="1:7" x14ac:dyDescent="0.3">
      <c r="A16">
        <f>$G$2-D16</f>
        <v>484.31700000000001</v>
      </c>
      <c r="B16">
        <v>56.281999999999996</v>
      </c>
      <c r="D16">
        <v>89.692999999999998</v>
      </c>
    </row>
    <row r="17" spans="1:4" x14ac:dyDescent="0.3">
      <c r="A17">
        <f>$G$2-D17</f>
        <v>476.08100000000002</v>
      </c>
      <c r="B17">
        <v>55.97</v>
      </c>
      <c r="D17">
        <v>97.929000000000002</v>
      </c>
    </row>
    <row r="18" spans="1:4" x14ac:dyDescent="0.3">
      <c r="A18">
        <f>$G$2-D18</f>
        <v>465.66800000000001</v>
      </c>
      <c r="B18">
        <v>55.076999999999998</v>
      </c>
      <c r="D18">
        <v>108.342</v>
      </c>
    </row>
    <row r="19" spans="1:4" x14ac:dyDescent="0.3">
      <c r="A19">
        <f>$G$2-D19</f>
        <v>454.72500000000002</v>
      </c>
      <c r="B19">
        <v>54.231000000000002</v>
      </c>
      <c r="D19">
        <v>119.285</v>
      </c>
    </row>
    <row r="20" spans="1:4" x14ac:dyDescent="0.3">
      <c r="A20">
        <f>$G$2-D20</f>
        <v>443.786</v>
      </c>
      <c r="B20">
        <v>52.418999999999997</v>
      </c>
      <c r="D20">
        <v>130.22399999999999</v>
      </c>
    </row>
    <row r="21" spans="1:4" x14ac:dyDescent="0.3">
      <c r="A21">
        <f>$G$2-D21</f>
        <v>433.673</v>
      </c>
      <c r="B21">
        <v>51.204000000000001</v>
      </c>
      <c r="D21">
        <v>140.33699999999999</v>
      </c>
    </row>
    <row r="22" spans="1:4" x14ac:dyDescent="0.3">
      <c r="A22">
        <f>$G$2-D22</f>
        <v>424.26400000000001</v>
      </c>
      <c r="B22">
        <v>50.378999999999998</v>
      </c>
      <c r="D22">
        <v>149.74600000000001</v>
      </c>
    </row>
    <row r="23" spans="1:4" x14ac:dyDescent="0.3">
      <c r="A23">
        <f>$G$2-D23</f>
        <v>414.56600000000003</v>
      </c>
      <c r="B23">
        <v>49.851999999999997</v>
      </c>
      <c r="D23">
        <v>159.44399999999999</v>
      </c>
    </row>
    <row r="24" spans="1:4" x14ac:dyDescent="0.3">
      <c r="A24">
        <f>$G$2-D24</f>
        <v>404.97500000000002</v>
      </c>
      <c r="B24">
        <v>49.295999999999999</v>
      </c>
      <c r="D24">
        <v>169.035</v>
      </c>
    </row>
    <row r="25" spans="1:4" x14ac:dyDescent="0.3">
      <c r="A25">
        <f>$G$2-D25</f>
        <v>395.59799999999996</v>
      </c>
      <c r="B25">
        <v>49.012999999999998</v>
      </c>
      <c r="D25">
        <v>178.41200000000001</v>
      </c>
    </row>
    <row r="26" spans="1:4" x14ac:dyDescent="0.3">
      <c r="A26">
        <f>$G$2-D26</f>
        <v>384.95299999999997</v>
      </c>
      <c r="B26">
        <v>48.835000000000001</v>
      </c>
      <c r="D26">
        <v>189.05699999999999</v>
      </c>
    </row>
    <row r="27" spans="1:4" x14ac:dyDescent="0.3">
      <c r="A27">
        <f>$G$2-D27</f>
        <v>375.72</v>
      </c>
      <c r="B27">
        <v>48.564999999999998</v>
      </c>
      <c r="D27">
        <v>198.29</v>
      </c>
    </row>
    <row r="28" spans="1:4" x14ac:dyDescent="0.3">
      <c r="A28">
        <f>$G$2-D28</f>
        <v>364.80499999999995</v>
      </c>
      <c r="B28">
        <v>48.359000000000002</v>
      </c>
      <c r="D28">
        <v>209.20500000000001</v>
      </c>
    </row>
    <row r="29" spans="1:4" x14ac:dyDescent="0.3">
      <c r="A29">
        <f>$G$2-D29</f>
        <v>354.666</v>
      </c>
      <c r="B29">
        <v>48.259</v>
      </c>
      <c r="D29">
        <v>219.34399999999999</v>
      </c>
    </row>
    <row r="30" spans="1:4" x14ac:dyDescent="0.3">
      <c r="A30">
        <f>$G$2-D30</f>
        <v>345.01400000000001</v>
      </c>
      <c r="B30">
        <v>48.13</v>
      </c>
      <c r="D30">
        <v>228.99600000000001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2026-06-11_profile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Hawkins</dc:creator>
  <cp:lastModifiedBy>Justin Hawkins</cp:lastModifiedBy>
  <dcterms:created xsi:type="dcterms:W3CDTF">2025-04-18T00:11:49Z</dcterms:created>
  <dcterms:modified xsi:type="dcterms:W3CDTF">2026-06-12T20:05:03Z</dcterms:modified>
</cp:coreProperties>
</file>